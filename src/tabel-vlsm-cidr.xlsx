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fauzan\Documents\KULIAH ITS\4. Komunikasi Data dan Jaringan Komputer\Minggu 11\"/>
    </mc:Choice>
  </mc:AlternateContent>
  <xr:revisionPtr revIDLastSave="0" documentId="13_ncr:1_{C07FB5B8-D4C6-44AE-B128-F0EEEF499A18}" xr6:coauthVersionLast="47" xr6:coauthVersionMax="47" xr10:uidLastSave="{00000000-0000-0000-0000-000000000000}"/>
  <bookViews>
    <workbookView xWindow="2160" yWindow="2160" windowWidth="18514" windowHeight="11280" xr2:uid="{F4D01985-A031-429C-A717-C99DCF9BB603}"/>
  </bookViews>
  <sheets>
    <sheet name="VLSM" sheetId="1" r:id="rId1"/>
    <sheet name="CID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<sst xmlns="http://schemas.openxmlformats.org/spreadsheetml/2006/main" count="86" uniqueCount="80">
  <si>
    <t>NRP: 5027241100</t>
  </si>
  <si>
    <t>Base IP: 10.140.0.0</t>
  </si>
  <si>
    <t>Alokasi Host (2^n - 2)</t>
  </si>
  <si>
    <t>Prefix (/n)</t>
  </si>
  <si>
    <t>Network</t>
  </si>
  <si>
    <t>Broadcast</t>
  </si>
  <si>
    <t>Sekretariat</t>
  </si>
  <si>
    <t>/23</t>
  </si>
  <si>
    <t>10.140.0.0</t>
  </si>
  <si>
    <t>255.255.254.0</t>
  </si>
  <si>
    <r>
      <t>10.140.0.1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10.140.1.254</t>
    </r>
  </si>
  <si>
    <t>10.140.1.255</t>
  </si>
  <si>
    <t>10.140.0.1</t>
  </si>
  <si>
    <t>B. Kurikulum</t>
  </si>
  <si>
    <t>/24</t>
  </si>
  <si>
    <t>10.140.2.0</t>
  </si>
  <si>
    <t>255.255.255.0</t>
  </si>
  <si>
    <r>
      <t>10.140.2.1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10.140.2.254</t>
    </r>
  </si>
  <si>
    <t>10.140.2.255</t>
  </si>
  <si>
    <t>10.140.2.1</t>
  </si>
  <si>
    <t>B. Guru &amp; Tendik</t>
  </si>
  <si>
    <t>/25</t>
  </si>
  <si>
    <t>10.140.3.0</t>
  </si>
  <si>
    <r>
      <t>10.140.3.1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10.140.3.126</t>
    </r>
  </si>
  <si>
    <t>10.140.3.127</t>
  </si>
  <si>
    <t>10.140.3.1</t>
  </si>
  <si>
    <t>B. Sarana Prasarana</t>
  </si>
  <si>
    <t>/26</t>
  </si>
  <si>
    <t>10.140.3.128</t>
  </si>
  <si>
    <r>
      <t>10.140.3.129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10.140.3.190</t>
    </r>
  </si>
  <si>
    <t>10.140.3.191</t>
  </si>
  <si>
    <t>10.140.3.129</t>
  </si>
  <si>
    <t>B. Pengawas (Cabang)</t>
  </si>
  <si>
    <t>/27</t>
  </si>
  <si>
    <t>10.140.3.192</t>
  </si>
  <si>
    <r>
      <t>10.140.3.193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10.140.3.222</t>
    </r>
  </si>
  <si>
    <t>10.140.3.223</t>
  </si>
  <si>
    <t>10.140.3.193</t>
  </si>
  <si>
    <t>Server &amp; Admin</t>
  </si>
  <si>
    <t>/29</t>
  </si>
  <si>
    <t>10.140.3.224</t>
  </si>
  <si>
    <r>
      <t>10.140.3.225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10.140.3.230</t>
    </r>
  </si>
  <si>
    <t>10.140.3.231</t>
  </si>
  <si>
    <t>10.140.3.225</t>
  </si>
  <si>
    <t>/30</t>
  </si>
  <si>
    <t>10.140.3.232</t>
  </si>
  <si>
    <r>
      <t>10.140.3.233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10.140.3.234</t>
    </r>
  </si>
  <si>
    <t>10.140.3.235</t>
  </si>
  <si>
    <t>Jaringan / Ruang</t>
  </si>
  <si>
    <t>Kebutuhan Host</t>
  </si>
  <si>
    <t>Subnet Mask</t>
  </si>
  <si>
    <t>510 (n=9)</t>
  </si>
  <si>
    <t>254 (n=8)</t>
  </si>
  <si>
    <t>126 (n=7)</t>
  </si>
  <si>
    <t>62 (n=6)</t>
  </si>
  <si>
    <t>30 (n=5)</t>
  </si>
  <si>
    <t>6 (n=3)</t>
  </si>
  <si>
    <t>Link WAN (Pusat-Cabang)</t>
  </si>
  <si>
    <t>2 (n=2)</t>
  </si>
  <si>
    <t>(IP di Router)</t>
  </si>
  <si>
    <t>A1</t>
  </si>
  <si>
    <t>A2</t>
  </si>
  <si>
    <t>A3</t>
  </si>
  <si>
    <t>A4</t>
  </si>
  <si>
    <t>A5</t>
  </si>
  <si>
    <t>A6</t>
  </si>
  <si>
    <t>A7</t>
  </si>
  <si>
    <t>Gateway</t>
  </si>
  <si>
    <t>Range Host</t>
  </si>
  <si>
    <t>/22</t>
  </si>
  <si>
    <t>1022 (n=10)</t>
  </si>
  <si>
    <t>TOTAL</t>
  </si>
  <si>
    <t xml:space="preserve"> </t>
  </si>
  <si>
    <t>Nama Agregasi</t>
  </si>
  <si>
    <t>Jaringan (Supernet)</t>
  </si>
  <si>
    <t>Range Alamat yang Diringkas</t>
  </si>
  <si>
    <t>RUTE_MENUJU_PUSAT</t>
  </si>
  <si>
    <t>255.255.252.0</t>
  </si>
  <si>
    <r>
      <t>10.140.0.0</t>
    </r>
    <r>
      <rPr>
        <sz val="11"/>
        <color rgb="FF1B1C1D"/>
        <rFont val="Arial"/>
        <family val="2"/>
      </rPr>
      <t xml:space="preserve"> - </t>
    </r>
    <r>
      <rPr>
        <sz val="10"/>
        <color rgb="FF444746"/>
        <rFont val="Google Sans Text"/>
        <family val="2"/>
      </rPr>
      <t>10.140.3.255</t>
    </r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</si>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</sst>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054D-7675-4051-82DE-4A5E1CD39158}">
  <dimension ref="A2:J27"/>
  <sheetViews>
    <sheetView tabSelected="1" zoomScale="55" zoomScaleNormal="55" workbookViewId="0">
      <selection activeCell="G26" sqref="G26"/>
    </sheetView>
  </sheetViews>
  <sheetFormatPr defaultRowHeight="14.6"/>
  <cols>
    <col min="2" max="2" width="23.07421875" customWidth="1"/>
    <col min="3" max="6" width="15.765625" customWidth="1"/>
    <col min="7" max="7" width="23.07421875" customWidth="1"/>
    <col min="8" max="8" width="30.3828125" customWidth="1"/>
    <col min="9" max="10" width="23.07421875" customWidth="1"/>
    <col min="11" max="11" width="13.69140625" bestFit="1" customWidth="1"/>
    <col min="13" max="13" width="19.69140625" bestFit="1" customWidth="1"/>
    <col min="14" max="14" width="9.3828125" bestFit="1" customWidth="1"/>
    <col min="15" max="15" width="12.3828125" bestFit="1" customWidth="1"/>
    <col min="16" max="16" width="6.4609375" bestFit="1" customWidth="1"/>
    <col min="17" max="17" width="21.921875" bestFit="1" customWidth="1"/>
    <col min="18" max="18" width="11.3828125" bestFit="1" customWidth="1"/>
    <col min="19" max="19" width="14" bestFit="1" customWidth="1"/>
  </cols>
  <sheetData>
    <row r="2" spans="1:10">
      <c r="B2" t="s">
        <v>0</v>
      </c>
    </row>
    <row r="3" spans="1:10">
      <c r="B3" t="s">
        <v>1</v>
      </c>
    </row>
    <row r="6" spans="1:10" ht="28.3">
      <c r="B6" s="3" t="s">
        <v>48</v>
      </c>
      <c r="C6" s="3" t="s">
        <v>49</v>
      </c>
      <c r="D6" s="3" t="s">
        <v>2</v>
      </c>
      <c r="E6" s="3" t="s">
        <v>3</v>
      </c>
      <c r="F6" s="3" t="s">
        <v>4</v>
      </c>
      <c r="G6" s="3" t="s">
        <v>50</v>
      </c>
      <c r="H6" s="3" t="s">
        <v>68</v>
      </c>
      <c r="I6" s="3" t="s">
        <v>5</v>
      </c>
      <c r="J6" s="3" t="s">
        <v>67</v>
      </c>
    </row>
    <row r="7" spans="1:10">
      <c r="A7" t="s">
        <v>60</v>
      </c>
      <c r="B7" s="4" t="s">
        <v>6</v>
      </c>
      <c r="C7" s="4">
        <v>380</v>
      </c>
      <c r="D7" s="4" t="s">
        <v>51</v>
      </c>
      <c r="E7" s="3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</row>
    <row r="8" spans="1:10">
      <c r="A8" t="s">
        <v>61</v>
      </c>
      <c r="B8" s="4" t="s">
        <v>13</v>
      </c>
      <c r="C8" s="4">
        <v>220</v>
      </c>
      <c r="D8" s="4" t="s">
        <v>52</v>
      </c>
      <c r="E8" s="3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</row>
    <row r="9" spans="1:10">
      <c r="A9" t="s">
        <v>62</v>
      </c>
      <c r="B9" s="4" t="s">
        <v>20</v>
      </c>
      <c r="C9" s="4">
        <v>95</v>
      </c>
      <c r="D9" s="4" t="s">
        <v>53</v>
      </c>
      <c r="E9" s="3" t="s">
        <v>21</v>
      </c>
      <c r="F9" s="5" t="s">
        <v>22</v>
      </c>
      <c r="G9" s="6">
        <v>255255255128</v>
      </c>
      <c r="H9" s="5" t="s">
        <v>23</v>
      </c>
      <c r="I9" s="5" t="s">
        <v>24</v>
      </c>
      <c r="J9" s="5" t="s">
        <v>25</v>
      </c>
    </row>
    <row r="10" spans="1:10">
      <c r="A10" t="s">
        <v>63</v>
      </c>
      <c r="B10" s="4" t="s">
        <v>26</v>
      </c>
      <c r="C10" s="4">
        <v>45</v>
      </c>
      <c r="D10" s="4" t="s">
        <v>54</v>
      </c>
      <c r="E10" s="3" t="s">
        <v>27</v>
      </c>
      <c r="F10" s="5" t="s">
        <v>28</v>
      </c>
      <c r="G10" s="6">
        <v>255255255192</v>
      </c>
      <c r="H10" s="5" t="s">
        <v>29</v>
      </c>
      <c r="I10" s="5" t="s">
        <v>30</v>
      </c>
      <c r="J10" s="5" t="s">
        <v>31</v>
      </c>
    </row>
    <row r="11" spans="1:10">
      <c r="A11" t="s">
        <v>64</v>
      </c>
      <c r="B11" s="4" t="s">
        <v>32</v>
      </c>
      <c r="C11" s="4">
        <v>18</v>
      </c>
      <c r="D11" s="4" t="s">
        <v>55</v>
      </c>
      <c r="E11" s="3" t="s">
        <v>33</v>
      </c>
      <c r="F11" s="5" t="s">
        <v>34</v>
      </c>
      <c r="G11" s="6">
        <v>255255255224</v>
      </c>
      <c r="H11" s="5" t="s">
        <v>35</v>
      </c>
      <c r="I11" s="5" t="s">
        <v>36</v>
      </c>
      <c r="J11" s="5" t="s">
        <v>37</v>
      </c>
    </row>
    <row r="12" spans="1:10">
      <c r="A12" t="s">
        <v>65</v>
      </c>
      <c r="B12" s="4" t="s">
        <v>38</v>
      </c>
      <c r="C12" s="4">
        <v>6</v>
      </c>
      <c r="D12" s="4" t="s">
        <v>56</v>
      </c>
      <c r="E12" s="3" t="s">
        <v>39</v>
      </c>
      <c r="F12" s="5" t="s">
        <v>40</v>
      </c>
      <c r="G12" s="6">
        <v>255255255248</v>
      </c>
      <c r="H12" s="5" t="s">
        <v>41</v>
      </c>
      <c r="I12" s="5" t="s">
        <v>42</v>
      </c>
      <c r="J12" s="5" t="s">
        <v>43</v>
      </c>
    </row>
    <row r="13" spans="1:10" ht="28.75" thickBot="1">
      <c r="A13" t="s">
        <v>66</v>
      </c>
      <c r="B13" s="7" t="s">
        <v>57</v>
      </c>
      <c r="C13" s="7">
        <v>2</v>
      </c>
      <c r="D13" s="7" t="s">
        <v>58</v>
      </c>
      <c r="E13" s="8" t="s">
        <v>44</v>
      </c>
      <c r="F13" s="5" t="s">
        <v>45</v>
      </c>
      <c r="G13" s="6">
        <v>255255255252</v>
      </c>
      <c r="H13" s="5" t="s">
        <v>46</v>
      </c>
      <c r="I13" s="5" t="s">
        <v>47</v>
      </c>
      <c r="J13" s="5" t="s">
        <v>59</v>
      </c>
    </row>
    <row r="14" spans="1:10" ht="29.15" customHeight="1" thickBot="1">
      <c r="B14" s="9" t="s">
        <v>71</v>
      </c>
      <c r="C14" s="10">
        <f>SUM(C7:C13)</f>
        <v>766</v>
      </c>
      <c r="D14" s="11" t="s">
        <v>70</v>
      </c>
      <c r="E14" s="12" t="s">
        <v>69</v>
      </c>
    </row>
    <row r="21" spans="4:7">
      <c r="G21" t="s">
        <v>72</v>
      </c>
    </row>
    <row r="22" spans="4:7">
      <c r="D22" t="s">
        <v>79</v>
      </c>
    </row>
    <row r="25" spans="4:7">
      <c r="F25" t="s">
        <v>79</v>
      </c>
    </row>
    <row r="27" spans="4:7">
      <c r="E27" t="s">
        <v>79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D300-706D-49A6-BDCB-B9A42EF18587}">
  <dimension ref="B3:F4"/>
  <sheetViews>
    <sheetView workbookViewId="0">
      <selection activeCell="E4" sqref="E4"/>
    </sheetView>
  </sheetViews>
  <sheetFormatPr defaultRowHeight="14.6"/>
  <cols>
    <col min="2" max="2" width="22.07421875" customWidth="1"/>
    <col min="3" max="3" width="15.3828125" customWidth="1"/>
    <col min="4" max="4" width="10.765625" customWidth="1"/>
    <col min="5" max="5" width="13.23046875" bestFit="1" customWidth="1"/>
    <col min="6" max="6" width="29.53515625" bestFit="1" customWidth="1"/>
  </cols>
  <sheetData>
    <row r="3" spans="2:6" ht="28.3">
      <c r="B3" s="1" t="s">
        <v>73</v>
      </c>
      <c r="C3" s="1" t="s">
        <v>74</v>
      </c>
      <c r="D3" s="1" t="s">
        <v>3</v>
      </c>
      <c r="E3" s="1" t="s">
        <v>50</v>
      </c>
      <c r="F3" s="1" t="s">
        <v>75</v>
      </c>
    </row>
    <row r="4" spans="2:6" ht="29.6" customHeight="1">
      <c r="B4" s="2" t="s">
        <v>76</v>
      </c>
      <c r="C4" s="2" t="s">
        <v>8</v>
      </c>
      <c r="D4" s="1" t="s">
        <v>69</v>
      </c>
      <c r="E4" s="2" t="s">
        <v>77</v>
      </c>
      <c r="F4" s="2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VLSM</vt:lpstr>
      <vt:lpstr>CIDR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Mahmud Dalil Fauzan</dc:creator>
  <cp:lastModifiedBy>Imam Mahmud Dalil Fauzan</cp:lastModifiedBy>
  <dcterms:created xsi:type="dcterms:W3CDTF">2025-11-10T09:13:08Z</dcterms:created>
  <dcterms:modified xsi:type="dcterms:W3CDTF">2025-11-12T15:19:32Z</dcterms:modified>
</cp:coreProperties>
</file>